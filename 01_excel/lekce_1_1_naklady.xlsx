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ia\Documents\data_analytika\01_excel\"/>
    </mc:Choice>
  </mc:AlternateContent>
  <xr:revisionPtr revIDLastSave="0" documentId="13_ncr:1_{2B8904BB-B84D-4BED-8DC1-52FED8524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adani" sheetId="1" r:id="rId1"/>
    <sheet name="Report_z_ucetnictvi" sheetId="2" r:id="rId2"/>
    <sheet name="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" i="3" l="1"/>
  <c r="F19" i="2"/>
  <c r="E19" i="2"/>
  <c r="D19" i="2"/>
  <c r="C19" i="2"/>
  <c r="F18" i="2"/>
  <c r="F17" i="2"/>
  <c r="F16" i="2"/>
  <c r="F14" i="2"/>
  <c r="E14" i="2"/>
  <c r="D14" i="2"/>
  <c r="C14" i="2"/>
  <c r="F13" i="2"/>
  <c r="F12" i="2"/>
  <c r="F11" i="2"/>
  <c r="F9" i="2"/>
  <c r="E9" i="2"/>
  <c r="D9" i="2"/>
  <c r="C9" i="2"/>
  <c r="F8" i="2"/>
  <c r="F7" i="2"/>
  <c r="F6" i="2"/>
</calcChain>
</file>

<file path=xl/sharedStrings.xml><?xml version="1.0" encoding="utf-8"?>
<sst xmlns="http://schemas.openxmlformats.org/spreadsheetml/2006/main" count="97" uniqueCount="41">
  <si>
    <t>Lekce 1.1 – Data jako tabulka</t>
  </si>
  <si>
    <t>1. Prohlédni si list Report_z_ucetnictvi a zapiš si všechny problémy, které brání analýze (najdeš jich aspoň 7).</t>
  </si>
  <si>
    <t>2. Vytvoř nový list Data a přepiš report do čisté tabulky: jeden řádek = jeden náklad (středisko × účet × měsíc).</t>
  </si>
  <si>
    <t xml:space="preserve">   Sloupce: Datum | Stredisko | Ucet | NazevUctu | Castka   → výsledek má 27 řádků.</t>
  </si>
  <si>
    <t xml:space="preserve">   Datum = poslední den měsíce (31.1.2026, 28.2.2026, 31.3.2026).</t>
  </si>
  <si>
    <t>3. Označ data, stiskni Ctrl+T a tabulku pojmenuj tbl_Naklady (karta Návrh tabulky → Název tabulky).</t>
  </si>
  <si>
    <t>4. Vedle tabulky spočítej celkové náklady vzorcem =SUM(tbl_Naklady[Castka]).</t>
  </si>
  <si>
    <t>5. Kontrolní součet: porovnej svůj součet s řádkem CELKEM NÁKLADY v reportu. Sedí? Pokud ne, najdi proč.</t>
  </si>
  <si>
    <t>6. Přidej pod tabulku testovací řádek a sleduj, co udělá tvůj součet. Pak řádek smaž.</t>
  </si>
  <si>
    <t>7. Zapni řádek souhrnů (Návrh tabulky → Řádek souhrnů) a vyzkoušej filtr na středisko IT.</t>
  </si>
  <si>
    <t>Náklady středisek – 1. čtvrtletí 2026</t>
  </si>
  <si>
    <t>Zdroj: export SAP CO, 05.04.2026, zpracoval: účtárna</t>
  </si>
  <si>
    <t>Středisko</t>
  </si>
  <si>
    <t>Účet</t>
  </si>
  <si>
    <t>Měsíc</t>
  </si>
  <si>
    <t>Celkem Q1</t>
  </si>
  <si>
    <t>Leden</t>
  </si>
  <si>
    <t>Únor</t>
  </si>
  <si>
    <t>Březen</t>
  </si>
  <si>
    <t>IT</t>
  </si>
  <si>
    <t>501 - Spotřeba materiálu</t>
  </si>
  <si>
    <t>518 - Ostatní služby</t>
  </si>
  <si>
    <t>521 - Mzdové náklady</t>
  </si>
  <si>
    <t>Celkem IT</t>
  </si>
  <si>
    <t>HR</t>
  </si>
  <si>
    <t>34 000 Kč</t>
  </si>
  <si>
    <t>Celkem HR</t>
  </si>
  <si>
    <t xml:space="preserve"> Obchod</t>
  </si>
  <si>
    <t>Celkem Obchod</t>
  </si>
  <si>
    <t>CELKEM NÁKLADY</t>
  </si>
  <si>
    <t>Pozn.: Březen u Obchodu upraven dodatečně (dobropis).</t>
  </si>
  <si>
    <t>Datum</t>
  </si>
  <si>
    <t>Stredisko</t>
  </si>
  <si>
    <t>Ucet</t>
  </si>
  <si>
    <t>NazevUctu</t>
  </si>
  <si>
    <t>Castka</t>
  </si>
  <si>
    <t>Obchod</t>
  </si>
  <si>
    <t>Spotřeba materiálu</t>
  </si>
  <si>
    <t>Ostatní služby</t>
  </si>
  <si>
    <t>Mzdové náklady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</si>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</sst>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3F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/>
    <xf numFmtId="3" fontId="3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0" fontId="0" fillId="0" borderId="0" xfId="0"/>
    <xf numFmtId="49" fontId="3" fillId="3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3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2">
    <dxf>
      <numFmt numFmtId="3" formatCode="#,##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0DE51-D560-41BF-B27D-32F676BCE0E4}" name="tbl_Naklady" displayName="tbl_Naklady" ref="A1:E29" totalsRowCount="1">
  <autoFilter ref="A1:E28" xr:uid="{0980DE51-D560-41BF-B27D-32F676BCE0E4}">
    <filterColumn colId="1">
      <filters>
        <filter val="IT"/>
      </filters>
    </filterColumn>
  </autoFilter>
  <tableColumns count="5">
    <tableColumn id="1" xr3:uid="{8C8DC026-AFC1-4301-AEF1-179D6803246C}" name="Datum" totalsRowLabel="Total" dataDxfId="1"/>
    <tableColumn id="2" xr3:uid="{F8E3EDBB-BE29-416A-8FB1-B562D849EA4D}" name="Stredisko"/>
    <tableColumn id="3" xr3:uid="{47DE9339-6A19-4F2D-80B0-ABB25729B92B}" name="Ucet"/>
    <tableColumn id="4" xr3:uid="{EDDF8FC4-46BB-4732-B6DE-A7327B9B6B3D}" name="NazevUctu"/>
    <tableColumn id="5" xr3:uid="{620363DB-8604-44C3-8144-198DAD28284C}" name="Castka" totalsRowFunction="sum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2" sqref="A12"/>
    </sheetView>
  </sheetViews>
  <sheetFormatPr defaultRowHeight="14.4" x14ac:dyDescent="0.3"/>
  <cols>
    <col min="1" max="1" width="12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opLeftCell="A3" workbookViewId="0">
      <selection activeCell="A25" sqref="A25"/>
    </sheetView>
  </sheetViews>
  <sheetFormatPr defaultRowHeight="14.4" x14ac:dyDescent="0.3"/>
  <cols>
    <col min="1" max="1" width="14" customWidth="1"/>
    <col min="2" max="2" width="28" customWidth="1"/>
    <col min="3" max="5" width="12" customWidth="1"/>
    <col min="6" max="6" width="14" customWidth="1"/>
  </cols>
  <sheetData>
    <row r="1" spans="1:8" ht="18" x14ac:dyDescent="0.35">
      <c r="A1" s="17" t="s">
        <v>10</v>
      </c>
      <c r="B1" s="18"/>
      <c r="C1" s="18"/>
      <c r="D1" s="18"/>
      <c r="E1" s="18"/>
      <c r="F1" s="18"/>
    </row>
    <row r="2" spans="1:8" x14ac:dyDescent="0.3">
      <c r="A2" s="19" t="s">
        <v>11</v>
      </c>
      <c r="B2" s="18"/>
      <c r="C2" s="18"/>
      <c r="D2" s="18"/>
      <c r="E2" s="18"/>
      <c r="F2" s="18"/>
    </row>
    <row r="4" spans="1:8" x14ac:dyDescent="0.3">
      <c r="A4" s="16" t="s">
        <v>12</v>
      </c>
      <c r="B4" s="16" t="s">
        <v>13</v>
      </c>
      <c r="C4" s="16" t="s">
        <v>14</v>
      </c>
      <c r="D4" s="16"/>
      <c r="E4" s="16"/>
      <c r="F4" s="16" t="s">
        <v>15</v>
      </c>
    </row>
    <row r="5" spans="1:8" x14ac:dyDescent="0.3">
      <c r="A5" s="16"/>
      <c r="B5" s="16"/>
      <c r="C5" s="3" t="s">
        <v>16</v>
      </c>
      <c r="D5" s="3" t="s">
        <v>17</v>
      </c>
      <c r="E5" s="3" t="s">
        <v>18</v>
      </c>
      <c r="F5" s="16"/>
      <c r="H5" s="11"/>
    </row>
    <row r="6" spans="1:8" x14ac:dyDescent="0.3">
      <c r="A6" s="14" t="s">
        <v>19</v>
      </c>
      <c r="B6" s="4" t="s">
        <v>20</v>
      </c>
      <c r="C6" s="5">
        <v>18400</v>
      </c>
      <c r="D6" s="5">
        <v>22150</v>
      </c>
      <c r="E6" s="5">
        <v>15900</v>
      </c>
      <c r="F6" s="5">
        <f>SUM(C6:E6)</f>
        <v>56450</v>
      </c>
    </row>
    <row r="7" spans="1:8" x14ac:dyDescent="0.3">
      <c r="A7" s="15"/>
      <c r="B7" s="4" t="s">
        <v>21</v>
      </c>
      <c r="C7" s="5">
        <v>86500</v>
      </c>
      <c r="D7" s="5">
        <v>91200</v>
      </c>
      <c r="E7" s="5">
        <v>88700</v>
      </c>
      <c r="F7" s="5">
        <f>SUM(C7:E7)</f>
        <v>266400</v>
      </c>
    </row>
    <row r="8" spans="1:8" x14ac:dyDescent="0.3">
      <c r="A8" s="15"/>
      <c r="B8" s="4" t="s">
        <v>22</v>
      </c>
      <c r="C8" s="5">
        <v>412000</v>
      </c>
      <c r="D8" s="5">
        <v>412000</v>
      </c>
      <c r="E8" s="5">
        <v>425600</v>
      </c>
      <c r="F8" s="5">
        <f>SUM(C8:E8)</f>
        <v>1249600</v>
      </c>
    </row>
    <row r="9" spans="1:8" x14ac:dyDescent="0.3">
      <c r="A9" s="4"/>
      <c r="B9" s="6" t="s">
        <v>23</v>
      </c>
      <c r="C9" s="7">
        <f>SUM(C6:C8)</f>
        <v>516900</v>
      </c>
      <c r="D9" s="7">
        <f>SUM(D6:D8)</f>
        <v>525350</v>
      </c>
      <c r="E9" s="7">
        <f>SUM(E6:E8)</f>
        <v>530200</v>
      </c>
      <c r="F9" s="7">
        <f>SUM(F6:F8)</f>
        <v>1572450</v>
      </c>
    </row>
    <row r="10" spans="1:8" x14ac:dyDescent="0.3">
      <c r="A10" s="4"/>
      <c r="B10" s="4"/>
      <c r="C10" s="4"/>
      <c r="D10" s="4"/>
      <c r="E10" s="4"/>
      <c r="F10" s="4"/>
    </row>
    <row r="11" spans="1:8" x14ac:dyDescent="0.3">
      <c r="A11" s="14" t="s">
        <v>24</v>
      </c>
      <c r="B11" s="4" t="s">
        <v>20</v>
      </c>
      <c r="C11" s="5">
        <v>6200</v>
      </c>
      <c r="D11" s="5">
        <v>4850</v>
      </c>
      <c r="E11" s="5">
        <v>7300</v>
      </c>
      <c r="F11" s="5">
        <f>SUM(C11:E11)</f>
        <v>18350</v>
      </c>
    </row>
    <row r="12" spans="1:8" x14ac:dyDescent="0.3">
      <c r="A12" s="15"/>
      <c r="B12" s="4" t="s">
        <v>21</v>
      </c>
      <c r="C12" s="5" t="s">
        <v>25</v>
      </c>
      <c r="D12" s="5">
        <v>29500</v>
      </c>
      <c r="E12" s="5">
        <v>41200</v>
      </c>
      <c r="F12" s="5">
        <f>SUM(C12:E12)</f>
        <v>70700</v>
      </c>
    </row>
    <row r="13" spans="1:8" x14ac:dyDescent="0.3">
      <c r="A13" s="15"/>
      <c r="B13" s="4" t="s">
        <v>22</v>
      </c>
      <c r="C13" s="5">
        <v>268000</v>
      </c>
      <c r="D13" s="5">
        <v>268000</v>
      </c>
      <c r="E13" s="5">
        <v>271400</v>
      </c>
      <c r="F13" s="5">
        <f>SUM(C13:E13)</f>
        <v>807400</v>
      </c>
    </row>
    <row r="14" spans="1:8" x14ac:dyDescent="0.3">
      <c r="A14" s="4"/>
      <c r="B14" s="6" t="s">
        <v>26</v>
      </c>
      <c r="C14" s="7">
        <f>SUM(C11:C13)</f>
        <v>274200</v>
      </c>
      <c r="D14" s="7">
        <f>SUM(D11:D13)</f>
        <v>302350</v>
      </c>
      <c r="E14" s="7">
        <f>SUM(E11:E13)</f>
        <v>319900</v>
      </c>
      <c r="F14" s="7">
        <f>SUM(F11:F13)</f>
        <v>896450</v>
      </c>
    </row>
    <row r="15" spans="1:8" x14ac:dyDescent="0.3">
      <c r="A15" s="4"/>
      <c r="B15" s="4"/>
      <c r="C15" s="4"/>
      <c r="D15" s="4"/>
      <c r="E15" s="4"/>
      <c r="F15" s="4"/>
    </row>
    <row r="16" spans="1:8" x14ac:dyDescent="0.3">
      <c r="A16" s="14" t="s">
        <v>27</v>
      </c>
      <c r="B16" s="4" t="s">
        <v>20</v>
      </c>
      <c r="C16" s="5">
        <v>12700</v>
      </c>
      <c r="D16" s="5">
        <v>14300</v>
      </c>
      <c r="E16" s="5">
        <v>11900</v>
      </c>
      <c r="F16" s="5">
        <f>SUM(C16:E16)</f>
        <v>38900</v>
      </c>
    </row>
    <row r="17" spans="1:6" x14ac:dyDescent="0.3">
      <c r="A17" s="15"/>
      <c r="B17" s="4" t="s">
        <v>21</v>
      </c>
      <c r="C17" s="5">
        <v>58300</v>
      </c>
      <c r="D17" s="5">
        <v>62900</v>
      </c>
      <c r="E17" s="5">
        <v>71450</v>
      </c>
      <c r="F17" s="5">
        <f>SUM(C17:E17)</f>
        <v>192650</v>
      </c>
    </row>
    <row r="18" spans="1:6" x14ac:dyDescent="0.3">
      <c r="A18" s="15"/>
      <c r="B18" s="4" t="s">
        <v>22</v>
      </c>
      <c r="C18" s="5">
        <v>356000</v>
      </c>
      <c r="D18" s="5">
        <v>361500</v>
      </c>
      <c r="E18" s="5">
        <v>361500</v>
      </c>
      <c r="F18" s="5">
        <f>SUM(C18:E18)</f>
        <v>1079000</v>
      </c>
    </row>
    <row r="19" spans="1:6" x14ac:dyDescent="0.3">
      <c r="A19" s="4"/>
      <c r="B19" s="6" t="s">
        <v>28</v>
      </c>
      <c r="C19" s="7">
        <f>SUM(C16:C18)</f>
        <v>427000</v>
      </c>
      <c r="D19" s="7">
        <f>SUM(D16:D18)</f>
        <v>438700</v>
      </c>
      <c r="E19" s="7">
        <f>SUM(E16:E18)</f>
        <v>444850</v>
      </c>
      <c r="F19" s="7">
        <f>SUM(F16:F18)</f>
        <v>1310550</v>
      </c>
    </row>
    <row r="20" spans="1:6" x14ac:dyDescent="0.3">
      <c r="A20" s="4"/>
      <c r="B20" s="4"/>
      <c r="C20" s="4"/>
      <c r="D20" s="4"/>
      <c r="E20" s="4"/>
      <c r="F20" s="4"/>
    </row>
    <row r="21" spans="1:6" ht="15.6" x14ac:dyDescent="0.3">
      <c r="A21" s="4"/>
      <c r="B21" s="8" t="s">
        <v>29</v>
      </c>
      <c r="C21" s="4"/>
      <c r="D21" s="4"/>
      <c r="E21" s="4"/>
      <c r="F21" s="9">
        <v>3809150</v>
      </c>
    </row>
    <row r="23" spans="1:6" x14ac:dyDescent="0.3">
      <c r="A23" s="2" t="s">
        <v>30</v>
      </c>
      <c r="F23" s="13"/>
    </row>
  </sheetData>
  <mergeCells count="9">
    <mergeCell ref="A16:A18"/>
    <mergeCell ref="A4:A5"/>
    <mergeCell ref="F4:F5"/>
    <mergeCell ref="A1:F1"/>
    <mergeCell ref="C4:E4"/>
    <mergeCell ref="A11:A13"/>
    <mergeCell ref="A6:A8"/>
    <mergeCell ref="A2:F2"/>
    <mergeCell ref="B4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4A5B-2D04-4D50-816F-F8FA259C815C}">
  <dimension ref="A1:G29"/>
  <sheetViews>
    <sheetView workbookViewId="0">
      <selection activeCell="A31" sqref="A31"/>
    </sheetView>
  </sheetViews>
  <sheetFormatPr defaultRowHeight="14.4" x14ac:dyDescent="0.3"/>
  <cols>
    <col min="1" max="1" width="10.109375" bestFit="1" customWidth="1"/>
    <col min="2" max="2" width="10.6640625" customWidth="1"/>
    <col min="4" max="4" width="16.6640625" bestFit="1" customWidth="1"/>
    <col min="7" max="7" width="11.33203125" bestFit="1" customWidth="1"/>
  </cols>
  <sheetData>
    <row r="1" spans="1:7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7" x14ac:dyDescent="0.3">
      <c r="A2" s="12">
        <v>46053</v>
      </c>
      <c r="B2" t="s">
        <v>19</v>
      </c>
      <c r="C2">
        <v>501</v>
      </c>
      <c r="D2" t="s">
        <v>37</v>
      </c>
      <c r="E2" s="13">
        <v>18400</v>
      </c>
    </row>
    <row r="3" spans="1:7" x14ac:dyDescent="0.3">
      <c r="A3" s="12">
        <v>46053</v>
      </c>
      <c r="B3" t="s">
        <v>19</v>
      </c>
      <c r="C3">
        <v>518</v>
      </c>
      <c r="D3" t="s">
        <v>38</v>
      </c>
      <c r="E3" s="13">
        <v>86500</v>
      </c>
      <c r="G3" s="13"/>
    </row>
    <row r="4" spans="1:7" x14ac:dyDescent="0.3">
      <c r="A4" s="12">
        <v>46053</v>
      </c>
      <c r="B4" t="s">
        <v>19</v>
      </c>
      <c r="C4">
        <v>521</v>
      </c>
      <c r="D4" t="s">
        <v>39</v>
      </c>
      <c r="E4" s="13">
        <v>412000</v>
      </c>
    </row>
    <row r="5" spans="1:7" hidden="1" x14ac:dyDescent="0.3">
      <c r="A5" s="12">
        <v>46053</v>
      </c>
      <c r="B5" t="s">
        <v>24</v>
      </c>
      <c r="C5">
        <v>501</v>
      </c>
      <c r="D5" t="s">
        <v>37</v>
      </c>
      <c r="E5" s="13">
        <v>6200</v>
      </c>
    </row>
    <row r="6" spans="1:7" hidden="1" x14ac:dyDescent="0.3">
      <c r="A6" s="12">
        <v>46053</v>
      </c>
      <c r="B6" t="s">
        <v>24</v>
      </c>
      <c r="C6">
        <v>518</v>
      </c>
      <c r="D6" t="s">
        <v>38</v>
      </c>
      <c r="E6" s="13">
        <v>34000</v>
      </c>
    </row>
    <row r="7" spans="1:7" hidden="1" x14ac:dyDescent="0.3">
      <c r="A7" s="12">
        <v>46053</v>
      </c>
      <c r="B7" t="s">
        <v>24</v>
      </c>
      <c r="C7">
        <v>521</v>
      </c>
      <c r="D7" t="s">
        <v>39</v>
      </c>
      <c r="E7" s="13">
        <v>268000</v>
      </c>
    </row>
    <row r="8" spans="1:7" hidden="1" x14ac:dyDescent="0.3">
      <c r="A8" s="12">
        <v>46053</v>
      </c>
      <c r="B8" t="s">
        <v>36</v>
      </c>
      <c r="C8">
        <v>501</v>
      </c>
      <c r="D8" t="s">
        <v>37</v>
      </c>
      <c r="E8" s="13">
        <v>12700</v>
      </c>
    </row>
    <row r="9" spans="1:7" hidden="1" x14ac:dyDescent="0.3">
      <c r="A9" s="12">
        <v>46053</v>
      </c>
      <c r="B9" t="s">
        <v>36</v>
      </c>
      <c r="C9">
        <v>518</v>
      </c>
      <c r="D9" t="s">
        <v>38</v>
      </c>
      <c r="E9" s="13">
        <v>58300</v>
      </c>
    </row>
    <row r="10" spans="1:7" hidden="1" x14ac:dyDescent="0.3">
      <c r="A10" s="12">
        <v>46053</v>
      </c>
      <c r="B10" t="s">
        <v>36</v>
      </c>
      <c r="C10">
        <v>521</v>
      </c>
      <c r="D10" t="s">
        <v>39</v>
      </c>
      <c r="E10" s="13">
        <v>356000</v>
      </c>
    </row>
    <row r="11" spans="1:7" x14ac:dyDescent="0.3">
      <c r="A11" s="12">
        <v>46081</v>
      </c>
      <c r="B11" t="s">
        <v>19</v>
      </c>
      <c r="C11">
        <v>501</v>
      </c>
      <c r="D11" t="s">
        <v>37</v>
      </c>
      <c r="E11" s="13">
        <v>22150</v>
      </c>
    </row>
    <row r="12" spans="1:7" x14ac:dyDescent="0.3">
      <c r="A12" s="12">
        <v>46081</v>
      </c>
      <c r="B12" t="s">
        <v>19</v>
      </c>
      <c r="C12">
        <v>518</v>
      </c>
      <c r="D12" t="s">
        <v>38</v>
      </c>
      <c r="E12" s="13">
        <v>91200</v>
      </c>
    </row>
    <row r="13" spans="1:7" x14ac:dyDescent="0.3">
      <c r="A13" s="12">
        <v>46081</v>
      </c>
      <c r="B13" t="s">
        <v>19</v>
      </c>
      <c r="C13">
        <v>521</v>
      </c>
      <c r="D13" t="s">
        <v>39</v>
      </c>
      <c r="E13" s="13">
        <v>412000</v>
      </c>
    </row>
    <row r="14" spans="1:7" hidden="1" x14ac:dyDescent="0.3">
      <c r="A14" s="12">
        <v>46081</v>
      </c>
      <c r="B14" t="s">
        <v>24</v>
      </c>
      <c r="C14">
        <v>501</v>
      </c>
      <c r="D14" t="s">
        <v>37</v>
      </c>
      <c r="E14" s="13">
        <v>4850</v>
      </c>
    </row>
    <row r="15" spans="1:7" hidden="1" x14ac:dyDescent="0.3">
      <c r="A15" s="12">
        <v>46081</v>
      </c>
      <c r="B15" t="s">
        <v>24</v>
      </c>
      <c r="C15">
        <v>518</v>
      </c>
      <c r="D15" t="s">
        <v>38</v>
      </c>
      <c r="E15" s="13">
        <v>29500</v>
      </c>
    </row>
    <row r="16" spans="1:7" hidden="1" x14ac:dyDescent="0.3">
      <c r="A16" s="12">
        <v>46081</v>
      </c>
      <c r="B16" t="s">
        <v>24</v>
      </c>
      <c r="C16">
        <v>521</v>
      </c>
      <c r="D16" t="s">
        <v>39</v>
      </c>
      <c r="E16" s="13">
        <v>268000</v>
      </c>
    </row>
    <row r="17" spans="1:5" hidden="1" x14ac:dyDescent="0.3">
      <c r="A17" s="12">
        <v>46081</v>
      </c>
      <c r="B17" t="s">
        <v>36</v>
      </c>
      <c r="C17">
        <v>501</v>
      </c>
      <c r="D17" t="s">
        <v>37</v>
      </c>
      <c r="E17" s="13">
        <v>14300</v>
      </c>
    </row>
    <row r="18" spans="1:5" hidden="1" x14ac:dyDescent="0.3">
      <c r="A18" s="12">
        <v>46081</v>
      </c>
      <c r="B18" t="s">
        <v>36</v>
      </c>
      <c r="C18">
        <v>518</v>
      </c>
      <c r="D18" t="s">
        <v>38</v>
      </c>
      <c r="E18" s="13">
        <v>62900</v>
      </c>
    </row>
    <row r="19" spans="1:5" hidden="1" x14ac:dyDescent="0.3">
      <c r="A19" s="12">
        <v>46081</v>
      </c>
      <c r="B19" t="s">
        <v>36</v>
      </c>
      <c r="C19">
        <v>521</v>
      </c>
      <c r="D19" t="s">
        <v>39</v>
      </c>
      <c r="E19" s="13">
        <v>361500</v>
      </c>
    </row>
    <row r="20" spans="1:5" x14ac:dyDescent="0.3">
      <c r="A20" s="12">
        <v>46112</v>
      </c>
      <c r="B20" t="s">
        <v>19</v>
      </c>
      <c r="C20">
        <v>501</v>
      </c>
      <c r="D20" t="s">
        <v>37</v>
      </c>
      <c r="E20" s="13">
        <v>15900</v>
      </c>
    </row>
    <row r="21" spans="1:5" x14ac:dyDescent="0.3">
      <c r="A21" s="12">
        <v>46112</v>
      </c>
      <c r="B21" t="s">
        <v>19</v>
      </c>
      <c r="C21">
        <v>518</v>
      </c>
      <c r="D21" t="s">
        <v>38</v>
      </c>
      <c r="E21" s="13">
        <v>88700</v>
      </c>
    </row>
    <row r="22" spans="1:5" x14ac:dyDescent="0.3">
      <c r="A22" s="12">
        <v>46112</v>
      </c>
      <c r="B22" t="s">
        <v>19</v>
      </c>
      <c r="C22">
        <v>521</v>
      </c>
      <c r="D22" t="s">
        <v>39</v>
      </c>
      <c r="E22" s="13">
        <v>425600</v>
      </c>
    </row>
    <row r="23" spans="1:5" hidden="1" x14ac:dyDescent="0.3">
      <c r="A23" s="12">
        <v>46112</v>
      </c>
      <c r="B23" t="s">
        <v>24</v>
      </c>
      <c r="C23">
        <v>501</v>
      </c>
      <c r="D23" t="s">
        <v>37</v>
      </c>
      <c r="E23" s="13">
        <v>7300</v>
      </c>
    </row>
    <row r="24" spans="1:5" hidden="1" x14ac:dyDescent="0.3">
      <c r="A24" s="12">
        <v>46112</v>
      </c>
      <c r="B24" t="s">
        <v>24</v>
      </c>
      <c r="C24">
        <v>518</v>
      </c>
      <c r="D24" t="s">
        <v>38</v>
      </c>
      <c r="E24" s="13">
        <v>41200</v>
      </c>
    </row>
    <row r="25" spans="1:5" hidden="1" x14ac:dyDescent="0.3">
      <c r="A25" s="12">
        <v>46112</v>
      </c>
      <c r="B25" t="s">
        <v>24</v>
      </c>
      <c r="C25">
        <v>521</v>
      </c>
      <c r="D25" t="s">
        <v>39</v>
      </c>
      <c r="E25" s="13">
        <v>271400</v>
      </c>
    </row>
    <row r="26" spans="1:5" hidden="1" x14ac:dyDescent="0.3">
      <c r="A26" s="12">
        <v>46112</v>
      </c>
      <c r="B26" t="s">
        <v>36</v>
      </c>
      <c r="C26">
        <v>501</v>
      </c>
      <c r="D26" t="s">
        <v>37</v>
      </c>
      <c r="E26" s="13">
        <v>11900</v>
      </c>
    </row>
    <row r="27" spans="1:5" hidden="1" x14ac:dyDescent="0.3">
      <c r="A27" s="12">
        <v>46112</v>
      </c>
      <c r="B27" t="s">
        <v>36</v>
      </c>
      <c r="C27">
        <v>518</v>
      </c>
      <c r="D27" t="s">
        <v>38</v>
      </c>
      <c r="E27" s="13">
        <v>71450</v>
      </c>
    </row>
    <row r="28" spans="1:5" hidden="1" x14ac:dyDescent="0.3">
      <c r="A28" s="12">
        <v>46112</v>
      </c>
      <c r="B28" t="s">
        <v>36</v>
      </c>
      <c r="C28">
        <v>521</v>
      </c>
      <c r="D28" t="s">
        <v>39</v>
      </c>
      <c r="E28" s="13">
        <v>361500</v>
      </c>
    </row>
    <row r="29" spans="1:5" x14ac:dyDescent="0.3">
      <c r="A29" t="s">
        <v>40</v>
      </c>
      <c r="B29" s="10"/>
      <c r="C29" s="10"/>
      <c r="D29" s="10"/>
      <c r="E29" s="13">
        <f>SUBTOTAL(109,tbl_Naklady[Castka])</f>
        <v>1572450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Zadani</vt:lpstr>
      <vt:lpstr>Report_z_ucetnictvi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 Solčanová</cp:lastModifiedBy>
  <dcterms:created xsi:type="dcterms:W3CDTF">2026-10-28T14:06:27Z</dcterms:created>
  <dcterms:modified xsi:type="dcterms:W3CDTF">2026-10-28T17:25:40Z</dcterms:modified>
</cp:coreProperties>
</file>